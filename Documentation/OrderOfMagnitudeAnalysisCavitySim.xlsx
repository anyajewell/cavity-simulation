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wellan\Documents\ORACLE\"/>
    </mc:Choice>
  </mc:AlternateContent>
  <xr:revisionPtr revIDLastSave="0" documentId="8_{8F3962BE-8F54-4E7D-8C63-C16EA5EE30E7}" xr6:coauthVersionLast="47" xr6:coauthVersionMax="47" xr10:uidLastSave="{00000000-0000-0000-0000-000000000000}"/>
  <bookViews>
    <workbookView xWindow="-105" yWindow="0" windowWidth="14610" windowHeight="15585" xr2:uid="{F173FE86-3940-4F1F-8E04-E9FD4156231C}"/>
  </bookViews>
  <sheets>
    <sheet name="Sheet1" sheetId="1" r:id="rId1"/>
  </sheets>
  <definedNames>
    <definedName name="_c">Sheet1!$C$6</definedName>
    <definedName name="a" comment="Beam width">Sheet1!$C$2</definedName>
    <definedName name="k" comment="Wavenumber">Sheet1!$C$8</definedName>
    <definedName name="L" comment="Length of cavity">Sheet1!$C$3</definedName>
    <definedName name="lambda" comment="Wavelength of laser">Sheet1!$C$5</definedName>
    <definedName name="lilomega">Sheet1!$C$9</definedName>
    <definedName name="Omega" comment="Rotation of spacecraft frame relative to inertial geocentric frame.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12" i="1"/>
  <c r="C35" i="1"/>
  <c r="C34" i="1"/>
  <c r="C33" i="1"/>
  <c r="C32" i="1"/>
  <c r="C31" i="1"/>
  <c r="C30" i="1"/>
  <c r="C29" i="1"/>
  <c r="C27" i="1"/>
  <c r="C26" i="1"/>
  <c r="C23" i="1"/>
  <c r="C22" i="1"/>
  <c r="C8" i="1"/>
  <c r="C9" i="1" s="1"/>
  <c r="C14" i="1"/>
  <c r="C13" i="1"/>
  <c r="C16" i="1"/>
  <c r="C25" i="1" l="1"/>
  <c r="C24" i="1"/>
  <c r="C19" i="1"/>
  <c r="C17" i="1"/>
  <c r="C18" i="1"/>
  <c r="C20" i="1"/>
  <c r="C21" i="1"/>
  <c r="C15" i="1"/>
</calcChain>
</file>

<file path=xl/sharedStrings.xml><?xml version="1.0" encoding="utf-8"?>
<sst xmlns="http://schemas.openxmlformats.org/spreadsheetml/2006/main" count="77" uniqueCount="48">
  <si>
    <t>Term</t>
  </si>
  <si>
    <t>Order</t>
  </si>
  <si>
    <t>a</t>
  </si>
  <si>
    <t xml:space="preserve"> Ω</t>
  </si>
  <si>
    <t>L</t>
  </si>
  <si>
    <t xml:space="preserve"> λ</t>
  </si>
  <si>
    <t>c</t>
  </si>
  <si>
    <t>Symbol</t>
  </si>
  <si>
    <t>Description</t>
  </si>
  <si>
    <t>Value (set)</t>
  </si>
  <si>
    <t>Beam width</t>
  </si>
  <si>
    <t>Length of cavity</t>
  </si>
  <si>
    <t>Units</t>
  </si>
  <si>
    <t>m</t>
  </si>
  <si>
    <t>rad/s</t>
  </si>
  <si>
    <t>m/s</t>
  </si>
  <si>
    <t>Rotation of spacecraft frame</t>
  </si>
  <si>
    <t>Wavelength of laser</t>
  </si>
  <si>
    <t>Speed of light</t>
  </si>
  <si>
    <t>a^2/L^2</t>
  </si>
  <si>
    <t>a^2/a^2</t>
  </si>
  <si>
    <t>k</t>
  </si>
  <si>
    <t>Wavenumber</t>
  </si>
  <si>
    <t>/m</t>
  </si>
  <si>
    <r>
      <t xml:space="preserve">Magnitude in terms of a, L, </t>
    </r>
    <r>
      <rPr>
        <b/>
        <sz val="11"/>
        <color theme="1"/>
        <rFont val="Aptos Narrow"/>
        <family val="2"/>
      </rPr>
      <t>Ω, λ,</t>
    </r>
    <r>
      <rPr>
        <b/>
        <sz val="11"/>
        <color theme="1"/>
        <rFont val="Aptos Narrow"/>
        <family val="2"/>
        <scheme val="minor"/>
      </rPr>
      <t xml:space="preserve"> c</t>
    </r>
  </si>
  <si>
    <t>ω</t>
  </si>
  <si>
    <t>Angular frequency of laser</t>
  </si>
  <si>
    <t>a^2/c^2 (c/λ)</t>
  </si>
  <si>
    <t>a^2/c^2 (Ω/λ) (ac/L)</t>
  </si>
  <si>
    <t>a^2/c^2 (c/λ) (1/λ) Ωa</t>
  </si>
  <si>
    <t>a^2/c^2 (1/λ^2) (Ω^2) (a^2)</t>
  </si>
  <si>
    <t>a^2/c^2 (1/λ^2) (Ω^2) (L)</t>
  </si>
  <si>
    <t>a^2/c^2 (Ωa) (c/L^2)</t>
  </si>
  <si>
    <t>a^2/c^2 (ΩL) (c/L) (1/a)</t>
  </si>
  <si>
    <t>a^2/c^2(c/λ) (ΩL) (1/a)</t>
  </si>
  <si>
    <t>(a^2)(1/λ)(1/L)</t>
  </si>
  <si>
    <t>a^2/c^2 (c/λ) (Ωa) (1/L)</t>
  </si>
  <si>
    <t>Result</t>
  </si>
  <si>
    <t>Keep</t>
  </si>
  <si>
    <t>Drop</t>
  </si>
  <si>
    <t>a^/c^2 (Ω^2) (L^2) (1/a^2)</t>
  </si>
  <si>
    <t>a^/c^2 (Ω^2) (a^2) (1/L^2)</t>
  </si>
  <si>
    <t>a^2/c^2 (Ω^2) (aL) (1/a) (1/L)</t>
  </si>
  <si>
    <t>a^2/c^2 (Ω^2) (a) (1/a)</t>
  </si>
  <si>
    <t>a^2/c^2 (Ω^2) (L) (1/L)</t>
  </si>
  <si>
    <t>a^2/c^2 (1/λ) (Ω^2) (L) (1/a)</t>
  </si>
  <si>
    <t>a^2/c^2 (Ω^2) (a^2) (1/L)</t>
  </si>
  <si>
    <t>a^2/c^2 (Ω^2) (aL) (1/a)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</si>
</sst>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2" borderId="1" xfId="0" applyFont="1" applyFill="1" applyBorder="1"/>
    <xf numFmtId="11" fontId="0" fillId="2" borderId="1" xfId="0" applyNumberForma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6" xfId="0" applyFill="1" applyBorder="1"/>
    <xf numFmtId="0" fontId="1" fillId="2" borderId="7" xfId="0" applyFont="1" applyFill="1" applyBorder="1"/>
    <xf numFmtId="0" fontId="0" fillId="2" borderId="8" xfId="0" applyFont="1" applyFill="1" applyBorder="1"/>
    <xf numFmtId="11" fontId="0" fillId="2" borderId="8" xfId="0" applyNumberFormat="1" applyFill="1" applyBorder="1"/>
    <xf numFmtId="0" fontId="0" fillId="2" borderId="9" xfId="0" applyFill="1" applyBorder="1"/>
    <xf numFmtId="0" fontId="1" fillId="4" borderId="2" xfId="0" applyFont="1" applyFill="1" applyBorder="1"/>
    <xf numFmtId="0" fontId="0" fillId="4" borderId="3" xfId="0" applyFill="1" applyBorder="1"/>
    <xf numFmtId="11" fontId="0" fillId="4" borderId="3" xfId="0" applyNumberFormat="1" applyFill="1" applyBorder="1"/>
    <xf numFmtId="0" fontId="0" fillId="4" borderId="4" xfId="0" applyFill="1" applyBorder="1"/>
    <xf numFmtId="0" fontId="2" fillId="4" borderId="7" xfId="0" applyFont="1" applyFill="1" applyBorder="1"/>
    <xf numFmtId="0" fontId="0" fillId="4" borderId="8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1" fillId="5" borderId="11" xfId="0" applyFont="1" applyFill="1" applyBorder="1"/>
    <xf numFmtId="0" fontId="0" fillId="5" borderId="11" xfId="0" applyFont="1" applyFill="1" applyBorder="1"/>
    <xf numFmtId="11" fontId="0" fillId="5" borderId="11" xfId="0" applyNumberFormat="1" applyFont="1" applyFill="1" applyBorder="1"/>
    <xf numFmtId="0" fontId="0" fillId="5" borderId="11" xfId="0" applyFill="1" applyBorder="1"/>
    <xf numFmtId="11" fontId="0" fillId="5" borderId="11" xfId="0" applyNumberFormat="1" applyFill="1" applyBorder="1"/>
    <xf numFmtId="0" fontId="1" fillId="0" borderId="11" xfId="0" applyFont="1" applyBorder="1"/>
    <xf numFmtId="0" fontId="0" fillId="0" borderId="11" xfId="0" applyFont="1" applyBorder="1"/>
    <xf numFmtId="0" fontId="0" fillId="0" borderId="11" xfId="0" applyBorder="1"/>
    <xf numFmtId="0" fontId="0" fillId="5" borderId="12" xfId="0" applyFont="1" applyFill="1" applyBorder="1"/>
    <xf numFmtId="0" fontId="0" fillId="0" borderId="12" xfId="0" applyFont="1" applyBorder="1"/>
    <xf numFmtId="0" fontId="0" fillId="0" borderId="12" xfId="0" applyBorder="1"/>
    <xf numFmtId="0" fontId="0" fillId="5" borderId="12" xfId="0" applyFill="1" applyBorder="1"/>
    <xf numFmtId="0" fontId="0" fillId="5" borderId="13" xfId="0" applyFont="1" applyFill="1" applyBorder="1"/>
    <xf numFmtId="0" fontId="0" fillId="5" borderId="13" xfId="0" applyFill="1" applyBorder="1"/>
    <xf numFmtId="0" fontId="0" fillId="0" borderId="0" xfId="0" applyBorder="1"/>
    <xf numFmtId="0" fontId="0" fillId="0" borderId="10" xfId="0" applyBorder="1"/>
    <xf numFmtId="0" fontId="1" fillId="3" borderId="14" xfId="0" applyFont="1" applyFill="1" applyBorder="1"/>
    <xf numFmtId="0" fontId="1" fillId="3" borderId="15" xfId="0" applyFont="1" applyFill="1" applyBorder="1"/>
    <xf numFmtId="0" fontId="0" fillId="5" borderId="16" xfId="0" applyFont="1" applyFill="1" applyBorder="1"/>
    <xf numFmtId="0" fontId="1" fillId="5" borderId="13" xfId="0" applyFont="1" applyFill="1" applyBorder="1"/>
    <xf numFmtId="0" fontId="1" fillId="3" borderId="17" xfId="0" applyFont="1" applyFill="1" applyBorder="1"/>
    <xf numFmtId="0" fontId="1" fillId="3" borderId="1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15</xdr:row>
      <xdr:rowOff>23812</xdr:rowOff>
    </xdr:from>
    <xdr:ext cx="63817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04C18-9B3B-12F9-0B5B-5F417AEBA76E}"/>
                </a:ext>
              </a:extLst>
            </xdr:cNvPr>
            <xdr:cNvSpPr txBox="1"/>
          </xdr:nvSpPr>
          <xdr:spPr>
            <a:xfrm>
              <a:off x="95250" y="2119312"/>
              <a:ext cx="63817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𝜏𝜏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04C18-9B3B-12F9-0B5B-5F417AEBA76E}"/>
                </a:ext>
              </a:extLst>
            </xdr:cNvPr>
            <xdr:cNvSpPr txBox="1"/>
          </xdr:nvSpPr>
          <xdr:spPr>
            <a:xfrm>
              <a:off x="95250" y="2119312"/>
              <a:ext cx="63817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𝐴_𝜏𝜏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152400</xdr:colOff>
      <xdr:row>16</xdr:row>
      <xdr:rowOff>14287</xdr:rowOff>
    </xdr:from>
    <xdr:ext cx="8763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3425D6C-798E-40EB-85C1-545973D5B594}"/>
                </a:ext>
              </a:extLst>
            </xdr:cNvPr>
            <xdr:cNvSpPr txBox="1"/>
          </xdr:nvSpPr>
          <xdr:spPr>
            <a:xfrm>
              <a:off x="152400" y="4062412"/>
              <a:ext cx="8763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(−2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𝜔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𝜏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3425D6C-798E-40EB-85C1-545973D5B594}"/>
                </a:ext>
              </a:extLst>
            </xdr:cNvPr>
            <xdr:cNvSpPr txBox="1"/>
          </xdr:nvSpPr>
          <xdr:spPr>
            <a:xfrm>
              <a:off x="152400" y="4062412"/>
              <a:ext cx="8763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(−2𝑖𝜔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𝐴_𝜏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85725</xdr:colOff>
      <xdr:row>11</xdr:row>
      <xdr:rowOff>109537</xdr:rowOff>
    </xdr:from>
    <xdr:ext cx="638175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E03951-9EBA-4144-9AD9-5317005EBAC4}"/>
                </a:ext>
              </a:extLst>
            </xdr:cNvPr>
            <xdr:cNvSpPr txBox="1"/>
          </xdr:nvSpPr>
          <xdr:spPr>
            <a:xfrm>
              <a:off x="85725" y="2205037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𝑋𝑋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1E03951-9EBA-4144-9AD9-5317005EBAC4}"/>
                </a:ext>
              </a:extLst>
            </xdr:cNvPr>
            <xdr:cNvSpPr txBox="1"/>
          </xdr:nvSpPr>
          <xdr:spPr>
            <a:xfrm>
              <a:off x="85725" y="2205037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 𝐴_𝑋𝑋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85725</xdr:colOff>
      <xdr:row>12</xdr:row>
      <xdr:rowOff>114300</xdr:rowOff>
    </xdr:from>
    <xdr:ext cx="638175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B546369-279F-4645-A35B-BB7B1E7FBF56}"/>
                </a:ext>
              </a:extLst>
            </xdr:cNvPr>
            <xdr:cNvSpPr txBox="1"/>
          </xdr:nvSpPr>
          <xdr:spPr>
            <a:xfrm>
              <a:off x="85725" y="2581275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𝑌𝑌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B546369-279F-4645-A35B-BB7B1E7FBF56}"/>
                </a:ext>
              </a:extLst>
            </xdr:cNvPr>
            <xdr:cNvSpPr txBox="1"/>
          </xdr:nvSpPr>
          <xdr:spPr>
            <a:xfrm>
              <a:off x="85725" y="2581275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 𝐴_𝑌𝑌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66675</xdr:colOff>
      <xdr:row>13</xdr:row>
      <xdr:rowOff>114300</xdr:rowOff>
    </xdr:from>
    <xdr:ext cx="638175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0342FDC-8C29-4E0E-9910-3524CC95AA57}"/>
                </a:ext>
              </a:extLst>
            </xdr:cNvPr>
            <xdr:cNvSpPr txBox="1"/>
          </xdr:nvSpPr>
          <xdr:spPr>
            <a:xfrm>
              <a:off x="66675" y="2971800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𝑍𝑍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0342FDC-8C29-4E0E-9910-3524CC95AA57}"/>
                </a:ext>
              </a:extLst>
            </xdr:cNvPr>
            <xdr:cNvSpPr txBox="1"/>
          </xdr:nvSpPr>
          <xdr:spPr>
            <a:xfrm>
              <a:off x="66675" y="2971800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 𝐴_𝑍𝑍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66675</xdr:colOff>
      <xdr:row>14</xdr:row>
      <xdr:rowOff>104775</xdr:rowOff>
    </xdr:from>
    <xdr:ext cx="638175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F3A7AC4-735E-4CED-8569-36622F9DE718}"/>
                </a:ext>
              </a:extLst>
            </xdr:cNvPr>
            <xdr:cNvSpPr txBox="1"/>
          </xdr:nvSpPr>
          <xdr:spPr>
            <a:xfrm>
              <a:off x="66675" y="3333750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𝑖𝑘𝐴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𝑍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F3A7AC4-735E-4CED-8569-36622F9DE718}"/>
                </a:ext>
              </a:extLst>
            </xdr:cNvPr>
            <xdr:cNvSpPr txBox="1"/>
          </xdr:nvSpPr>
          <xdr:spPr>
            <a:xfrm>
              <a:off x="66675" y="3333750"/>
              <a:ext cx="63817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 〖2𝑖𝑘𝐴〗_𝑍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76200</xdr:colOff>
      <xdr:row>17</xdr:row>
      <xdr:rowOff>14287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8B818F3-74CF-4093-BE5C-C669BA56BB34}"/>
                </a:ext>
              </a:extLst>
            </xdr:cNvPr>
            <xdr:cNvSpPr txBox="1"/>
          </xdr:nvSpPr>
          <xdr:spPr>
            <a:xfrm>
              <a:off x="76200" y="4395787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2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𝑖𝑘</m:t>
                    </m:r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Ω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𝑋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𝜏</m:t>
                        </m:r>
                      </m:sub>
                    </m:sSub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8B818F3-74CF-4093-BE5C-C669BA56BB34}"/>
                </a:ext>
              </a:extLst>
            </xdr:cNvPr>
            <xdr:cNvSpPr txBox="1"/>
          </xdr:nvSpPr>
          <xdr:spPr>
            <a:xfrm>
              <a:off x="76200" y="4395787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2𝑖𝑘Ω𝑋𝐴_𝜏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76200</xdr:colOff>
      <xdr:row>18</xdr:row>
      <xdr:rowOff>14287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5B755B-9D11-409C-B19F-11CA92C763D2}"/>
                </a:ext>
              </a:extLst>
            </xdr:cNvPr>
            <xdr:cNvSpPr txBox="1"/>
          </xdr:nvSpPr>
          <xdr:spPr>
            <a:xfrm>
              <a:off x="76200" y="476726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𝜔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m:rPr>
                            <m:sty m:val="p"/>
                          </m:rPr>
                          <a:rPr lang="en-US" sz="1100" b="0" i="0" kern="1200">
                            <a:latin typeface="Cambria Math" panose="02040503050406030204" pitchFamily="18" charset="0"/>
                          </a:rPr>
                          <m:t>Ω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95B755B-9D11-409C-B19F-11CA92C763D2}"/>
                </a:ext>
              </a:extLst>
            </xdr:cNvPr>
            <xdr:cNvSpPr txBox="1"/>
          </xdr:nvSpPr>
          <xdr:spPr>
            <a:xfrm>
              <a:off x="76200" y="476726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(2𝜔𝑘Ω𝑋)𝐴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76199</xdr:colOff>
      <xdr:row>19</xdr:row>
      <xdr:rowOff>23812</xdr:rowOff>
    </xdr:from>
    <xdr:ext cx="981075" cy="357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DA2D3B-1750-461C-B5DC-966C5CCC734B}"/>
                </a:ext>
              </a:extLst>
            </xdr:cNvPr>
            <xdr:cNvSpPr txBox="1"/>
          </xdr:nvSpPr>
          <xdr:spPr>
            <a:xfrm>
              <a:off x="76199" y="5186362"/>
              <a:ext cx="9810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DA2D3B-1750-461C-B5DC-966C5CCC734B}"/>
                </a:ext>
              </a:extLst>
            </xdr:cNvPr>
            <xdr:cNvSpPr txBox="1"/>
          </xdr:nvSpPr>
          <xdr:spPr>
            <a:xfrm>
              <a:off x="76199" y="5186362"/>
              <a:ext cx="9810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(−𝑘^2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b="0" i="0" kern="1200">
                  <a:latin typeface="Cambria Math" panose="02040503050406030204" pitchFamily="18" charset="0"/>
                </a:rPr>
                <a:t>𝐴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114300</xdr:colOff>
      <xdr:row>20</xdr:row>
      <xdr:rowOff>23812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AC6C6E3-24A1-4894-A215-3C784D541332}"/>
                </a:ext>
              </a:extLst>
            </xdr:cNvPr>
            <xdr:cNvSpPr txBox="1"/>
          </xdr:nvSpPr>
          <xdr:spPr>
            <a:xfrm>
              <a:off x="114300" y="5576887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𝑖𝑘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AC6C6E3-24A1-4894-A215-3C784D541332}"/>
                </a:ext>
              </a:extLst>
            </xdr:cNvPr>
            <xdr:cNvSpPr txBox="1"/>
          </xdr:nvSpPr>
          <xdr:spPr>
            <a:xfrm>
              <a:off x="114300" y="5576887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(−𝑖𝑘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𝑍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100" b="0" i="0" kern="1200">
                  <a:latin typeface="Cambria Math" panose="02040503050406030204" pitchFamily="18" charset="0"/>
                </a:rPr>
                <a:t>𝐴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123825</xdr:colOff>
      <xdr:row>21</xdr:row>
      <xdr:rowOff>4762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8EE734-1B1C-4781-B6D2-AD1D4CDBB061}"/>
                </a:ext>
              </a:extLst>
            </xdr:cNvPr>
            <xdr:cNvSpPr txBox="1"/>
          </xdr:nvSpPr>
          <xdr:spPr>
            <a:xfrm>
              <a:off x="123825" y="594836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(2</m:t>
                    </m:r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Ω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𝑋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𝜏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A8EE734-1B1C-4781-B6D2-AD1D4CDBB061}"/>
                </a:ext>
              </a:extLst>
            </xdr:cNvPr>
            <xdr:cNvSpPr txBox="1"/>
          </xdr:nvSpPr>
          <xdr:spPr>
            <a:xfrm>
              <a:off x="123825" y="594836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(2Ω𝑋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𝐴_𝜏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85725</xdr:colOff>
      <xdr:row>22</xdr:row>
      <xdr:rowOff>33337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473F5AF-1499-46B1-B708-3277AF715E58}"/>
                </a:ext>
              </a:extLst>
            </xdr:cNvPr>
            <xdr:cNvSpPr txBox="1"/>
          </xdr:nvSpPr>
          <xdr:spPr>
            <a:xfrm>
              <a:off x="85725" y="638651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(−2</m:t>
                    </m:r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Ω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𝑍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𝜏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473F5AF-1499-46B1-B708-3277AF715E58}"/>
                </a:ext>
              </a:extLst>
            </xdr:cNvPr>
            <xdr:cNvSpPr txBox="1"/>
          </xdr:nvSpPr>
          <xdr:spPr>
            <a:xfrm>
              <a:off x="85725" y="638651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(−2Ω𝑍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𝐴_𝜏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85725</xdr:colOff>
      <xdr:row>23</xdr:row>
      <xdr:rowOff>23812</xdr:rowOff>
    </xdr:from>
    <xdr:ext cx="914400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E8D44CA-D2FC-4D94-AC4B-E5445CE298DA}"/>
                </a:ext>
              </a:extLst>
            </xdr:cNvPr>
            <xdr:cNvSpPr txBox="1"/>
          </xdr:nvSpPr>
          <xdr:spPr>
            <a:xfrm>
              <a:off x="85725" y="676751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(2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𝜔</m:t>
                    </m:r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Ω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𝑍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E8D44CA-D2FC-4D94-AC4B-E5445CE298DA}"/>
                </a:ext>
              </a:extLst>
            </xdr:cNvPr>
            <xdr:cNvSpPr txBox="1"/>
          </xdr:nvSpPr>
          <xdr:spPr>
            <a:xfrm>
              <a:off x="85725" y="6767512"/>
              <a:ext cx="914400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(2𝑖𝜔Ω𝑍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123824</xdr:colOff>
      <xdr:row>24</xdr:row>
      <xdr:rowOff>4762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4EC4F61-4B4C-4138-9317-0467DA5A8538}"/>
                </a:ext>
              </a:extLst>
            </xdr:cNvPr>
            <xdr:cNvSpPr txBox="1"/>
          </xdr:nvSpPr>
          <xdr:spPr>
            <a:xfrm>
              <a:off x="123824" y="713898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(−2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𝑖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𝜔</m:t>
                    </m:r>
                    <m:r>
                      <m:rPr>
                        <m:sty m:val="p"/>
                      </m:rPr>
                      <a:rPr lang="en-US" sz="1100" b="0" i="0" kern="1200">
                        <a:latin typeface="Cambria Math" panose="02040503050406030204" pitchFamily="18" charset="0"/>
                      </a:rPr>
                      <m:t>Ω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𝑋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4EC4F61-4B4C-4138-9317-0467DA5A8538}"/>
                </a:ext>
              </a:extLst>
            </xdr:cNvPr>
            <xdr:cNvSpPr txBox="1"/>
          </xdr:nvSpPr>
          <xdr:spPr>
            <a:xfrm>
              <a:off x="123824" y="713898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(−2𝑖𝜔Ω𝑋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85724</xdr:colOff>
      <xdr:row>25</xdr:row>
      <xdr:rowOff>33337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E7997FC-4D92-42DD-856C-33A91A009C77}"/>
                </a:ext>
              </a:extLst>
            </xdr:cNvPr>
            <xdr:cNvSpPr txBox="1"/>
          </xdr:nvSpPr>
          <xdr:spPr>
            <a:xfrm>
              <a:off x="85724" y="753903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Z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𝑋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AE7997FC-4D92-42DD-856C-33A91A009C77}"/>
                </a:ext>
              </a:extLst>
            </xdr:cNvPr>
            <xdr:cNvSpPr txBox="1"/>
          </xdr:nvSpPr>
          <xdr:spPr>
            <a:xfrm>
              <a:off x="85724" y="753903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Ω^2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Z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 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66674</xdr:colOff>
      <xdr:row>26</xdr:row>
      <xdr:rowOff>14287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C5989D3-D96D-4C02-8448-BCD0BD949A2B}"/>
                </a:ext>
              </a:extLst>
            </xdr:cNvPr>
            <xdr:cNvSpPr txBox="1"/>
          </xdr:nvSpPr>
          <xdr:spPr>
            <a:xfrm>
              <a:off x="66674" y="790098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𝑍𝑍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C5989D3-D96D-4C02-8448-BCD0BD949A2B}"/>
                </a:ext>
              </a:extLst>
            </xdr:cNvPr>
            <xdr:cNvSpPr txBox="1"/>
          </xdr:nvSpPr>
          <xdr:spPr>
            <a:xfrm>
              <a:off x="66674" y="790098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Ω^2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 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𝑍𝑍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104774</xdr:colOff>
      <xdr:row>27</xdr:row>
      <xdr:rowOff>14287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37402B4-E9FA-423E-BC61-AAAB84D193D2}"/>
                </a:ext>
              </a:extLst>
            </xdr:cNvPr>
            <xdr:cNvSpPr txBox="1"/>
          </xdr:nvSpPr>
          <xdr:spPr>
            <a:xfrm>
              <a:off x="104774" y="8291512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−2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𝑋𝑍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𝑋𝑍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37402B4-E9FA-423E-BC61-AAAB84D193D2}"/>
                </a:ext>
              </a:extLst>
            </xdr:cNvPr>
            <xdr:cNvSpPr txBox="1"/>
          </xdr:nvSpPr>
          <xdr:spPr>
            <a:xfrm>
              <a:off x="104774" y="8291512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𝑋𝑍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𝑋𝑍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95249</xdr:colOff>
      <xdr:row>28</xdr:row>
      <xdr:rowOff>33337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11E1404-BA41-438D-A6F7-1B024FB6488F}"/>
                </a:ext>
              </a:extLst>
            </xdr:cNvPr>
            <xdr:cNvSpPr txBox="1"/>
          </xdr:nvSpPr>
          <xdr:spPr>
            <a:xfrm>
              <a:off x="95249" y="868203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𝑋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11E1404-BA41-438D-A6F7-1B024FB6488F}"/>
                </a:ext>
              </a:extLst>
            </xdr:cNvPr>
            <xdr:cNvSpPr txBox="1"/>
          </xdr:nvSpPr>
          <xdr:spPr>
            <a:xfrm>
              <a:off x="95249" y="8682037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𝑋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95249</xdr:colOff>
      <xdr:row>29</xdr:row>
      <xdr:rowOff>14287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4D2777-A6CC-4D98-BEEA-DACD410B1CB0}"/>
                </a:ext>
              </a:extLst>
            </xdr:cNvPr>
            <xdr:cNvSpPr txBox="1"/>
          </xdr:nvSpPr>
          <xdr:spPr>
            <a:xfrm>
              <a:off x="95249" y="9034462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𝑍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𝐴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4D2777-A6CC-4D98-BEEA-DACD410B1CB0}"/>
                </a:ext>
              </a:extLst>
            </xdr:cNvPr>
            <xdr:cNvSpPr txBox="1"/>
          </xdr:nvSpPr>
          <xdr:spPr>
            <a:xfrm>
              <a:off x="95249" y="9034462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Ω〗^2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en-US" sz="1100" b="0" i="0" kern="1200">
                  <a:latin typeface="Cambria Math" panose="02040503050406030204" pitchFamily="18" charset="0"/>
                </a:rPr>
                <a:t>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85725</xdr:colOff>
      <xdr:row>30</xdr:row>
      <xdr:rowOff>28575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BE1F7CA-1F18-4DE9-9489-2758B3770C39}"/>
                </a:ext>
              </a:extLst>
            </xdr:cNvPr>
            <xdr:cNvSpPr txBox="1"/>
          </xdr:nvSpPr>
          <xdr:spPr>
            <a:xfrm>
              <a:off x="85725" y="9420225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ikΩ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𝑍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2BE1F7CA-1F18-4DE9-9489-2758B3770C39}"/>
                </a:ext>
              </a:extLst>
            </xdr:cNvPr>
            <xdr:cNvSpPr txBox="1"/>
          </xdr:nvSpPr>
          <xdr:spPr>
            <a:xfrm>
              <a:off x="85725" y="9420225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−ikΩ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76200</xdr:colOff>
      <xdr:row>31</xdr:row>
      <xdr:rowOff>9525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5528113-1211-4474-B2B5-BE39743AD115}"/>
                </a:ext>
              </a:extLst>
            </xdr:cNvPr>
            <xdr:cNvSpPr txBox="1"/>
          </xdr:nvSpPr>
          <xdr:spPr>
            <a:xfrm>
              <a:off x="76200" y="9782175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ikΩ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𝑍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5528113-1211-4474-B2B5-BE39743AD115}"/>
                </a:ext>
              </a:extLst>
            </xdr:cNvPr>
            <xdr:cNvSpPr txBox="1"/>
          </xdr:nvSpPr>
          <xdr:spPr>
            <a:xfrm>
              <a:off x="76200" y="9782175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2ikΩ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X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^2 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𝑍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57150</xdr:colOff>
      <xdr:row>32</xdr:row>
      <xdr:rowOff>9525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C6731A-0235-41E9-BBF5-F1779ED53CE1}"/>
                </a:ext>
              </a:extLst>
            </xdr:cNvPr>
            <xdr:cNvSpPr txBox="1"/>
          </xdr:nvSpPr>
          <xdr:spPr>
            <a:xfrm>
              <a:off x="57150" y="10153650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ikΩ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𝑋𝑍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C6731A-0235-41E9-BBF5-F1779ED53CE1}"/>
                </a:ext>
              </a:extLst>
            </xdr:cNvPr>
            <xdr:cNvSpPr txBox="1"/>
          </xdr:nvSpPr>
          <xdr:spPr>
            <a:xfrm>
              <a:off x="57150" y="10153650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−ikΩ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𝑋𝑍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95250</xdr:colOff>
      <xdr:row>33</xdr:row>
      <xdr:rowOff>9525</xdr:rowOff>
    </xdr:from>
    <xdr:ext cx="10382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858A438-1DCD-402A-A31B-B533013898DB}"/>
                </a:ext>
              </a:extLst>
            </xdr:cNvPr>
            <xdr:cNvSpPr txBox="1"/>
          </xdr:nvSpPr>
          <xdr:spPr>
            <a:xfrm>
              <a:off x="95250" y="10553700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ik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X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𝑍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858A438-1DCD-402A-A31B-B533013898DB}"/>
                </a:ext>
              </a:extLst>
            </xdr:cNvPr>
            <xdr:cNvSpPr txBox="1"/>
          </xdr:nvSpPr>
          <xdr:spPr>
            <a:xfrm>
              <a:off x="95250" y="10553700"/>
              <a:ext cx="10382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ikΩ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 X^2 𝐴_𝑍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 b="0" kern="1200"/>
            </a:p>
          </xdr:txBody>
        </xdr:sp>
      </mc:Fallback>
    </mc:AlternateContent>
    <xdr:clientData/>
  </xdr:oneCellAnchor>
  <xdr:oneCellAnchor>
    <xdr:from>
      <xdr:col>0</xdr:col>
      <xdr:colOff>114300</xdr:colOff>
      <xdr:row>34</xdr:row>
      <xdr:rowOff>28575</xdr:rowOff>
    </xdr:from>
    <xdr:ext cx="1114425" cy="3397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3DB2E6F-A4CA-4E71-BF93-4FCF9580C957}"/>
                </a:ext>
              </a:extLst>
            </xdr:cNvPr>
            <xdr:cNvSpPr txBox="1"/>
          </xdr:nvSpPr>
          <xdr:spPr>
            <a:xfrm>
              <a:off x="114300" y="10953750"/>
              <a:ext cx="11144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−2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ikΩ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𝑋𝑍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𝐴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𝑋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sz="1100" b="0" kern="12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3DB2E6F-A4CA-4E71-BF93-4FCF9580C957}"/>
                </a:ext>
              </a:extLst>
            </xdr:cNvPr>
            <xdr:cNvSpPr txBox="1"/>
          </xdr:nvSpPr>
          <xdr:spPr>
            <a:xfrm>
              <a:off x="114300" y="10953750"/>
              <a:ext cx="1114425" cy="3397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𝑎^2/𝑐^2  (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−2ikΩ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𝑋𝑍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𝐴_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</a:t>
              </a:r>
              <a:r>
                <a:rPr lang="en-US" sz="11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US" sz="1100" b="0" kern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A8F8-2ECA-4A6A-AB19-B7ABA62A3F1B}">
  <dimension ref="A1:D35"/>
  <sheetViews>
    <sheetView tabSelected="1" topLeftCell="A7" zoomScale="115" zoomScaleNormal="115" workbookViewId="0">
      <selection activeCell="D27" sqref="D27"/>
    </sheetView>
  </sheetViews>
  <sheetFormatPr defaultRowHeight="15" x14ac:dyDescent="0.25"/>
  <cols>
    <col min="1" max="1" width="18.7109375" customWidth="1"/>
    <col min="2" max="2" width="32.5703125" customWidth="1"/>
    <col min="3" max="3" width="12.5703125" customWidth="1"/>
  </cols>
  <sheetData>
    <row r="1" spans="1:4" x14ac:dyDescent="0.25">
      <c r="A1" s="4" t="s">
        <v>7</v>
      </c>
      <c r="B1" s="5" t="s">
        <v>8</v>
      </c>
      <c r="C1" s="5" t="s">
        <v>9</v>
      </c>
      <c r="D1" s="6" t="s">
        <v>12</v>
      </c>
    </row>
    <row r="2" spans="1:4" x14ac:dyDescent="0.25">
      <c r="A2" s="7" t="s">
        <v>2</v>
      </c>
      <c r="B2" s="1" t="s">
        <v>10</v>
      </c>
      <c r="C2" s="1">
        <v>0.01</v>
      </c>
      <c r="D2" s="8" t="s">
        <v>13</v>
      </c>
    </row>
    <row r="3" spans="1:4" x14ac:dyDescent="0.25">
      <c r="A3" s="7" t="s">
        <v>4</v>
      </c>
      <c r="B3" s="1" t="s">
        <v>11</v>
      </c>
      <c r="C3" s="1">
        <v>100000</v>
      </c>
      <c r="D3" s="8" t="s">
        <v>13</v>
      </c>
    </row>
    <row r="4" spans="1:4" x14ac:dyDescent="0.25">
      <c r="A4" s="7" t="s">
        <v>3</v>
      </c>
      <c r="B4" s="2" t="s">
        <v>16</v>
      </c>
      <c r="C4" s="2">
        <v>1E-3</v>
      </c>
      <c r="D4" s="8" t="s">
        <v>14</v>
      </c>
    </row>
    <row r="5" spans="1:4" x14ac:dyDescent="0.25">
      <c r="A5" s="7" t="s">
        <v>5</v>
      </c>
      <c r="B5" s="2" t="s">
        <v>17</v>
      </c>
      <c r="C5" s="3">
        <v>1.0640000000000001E-6</v>
      </c>
      <c r="D5" s="8" t="s">
        <v>13</v>
      </c>
    </row>
    <row r="6" spans="1:4" ht="15.75" thickBot="1" x14ac:dyDescent="0.3">
      <c r="A6" s="9" t="s">
        <v>6</v>
      </c>
      <c r="B6" s="10" t="s">
        <v>18</v>
      </c>
      <c r="C6" s="11">
        <v>300000000</v>
      </c>
      <c r="D6" s="12" t="s">
        <v>15</v>
      </c>
    </row>
    <row r="7" spans="1:4" ht="15.75" thickBot="1" x14ac:dyDescent="0.3">
      <c r="A7" s="35"/>
      <c r="B7" s="35"/>
      <c r="C7" s="35"/>
      <c r="D7" s="35"/>
    </row>
    <row r="8" spans="1:4" x14ac:dyDescent="0.25">
      <c r="A8" s="13" t="s">
        <v>21</v>
      </c>
      <c r="B8" s="14" t="s">
        <v>22</v>
      </c>
      <c r="C8" s="15">
        <f>2*PI()/lambda</f>
        <v>5905249.3488529939</v>
      </c>
      <c r="D8" s="16" t="s">
        <v>23</v>
      </c>
    </row>
    <row r="9" spans="1:4" ht="15.75" thickBot="1" x14ac:dyDescent="0.3">
      <c r="A9" s="17" t="s">
        <v>25</v>
      </c>
      <c r="B9" s="18" t="s">
        <v>26</v>
      </c>
      <c r="C9" s="19">
        <f>_c*k</f>
        <v>1771574804655898.3</v>
      </c>
      <c r="D9" s="20" t="s">
        <v>14</v>
      </c>
    </row>
    <row r="10" spans="1:4" ht="15.75" thickBot="1" x14ac:dyDescent="0.3">
      <c r="A10" s="35"/>
      <c r="B10" s="35"/>
      <c r="C10" s="36"/>
      <c r="D10" s="36"/>
    </row>
    <row r="11" spans="1:4" ht="15.75" thickBot="1" x14ac:dyDescent="0.3">
      <c r="A11" s="41" t="s">
        <v>0</v>
      </c>
      <c r="B11" s="42" t="s">
        <v>24</v>
      </c>
      <c r="C11" s="37" t="s">
        <v>1</v>
      </c>
      <c r="D11" s="38" t="s">
        <v>37</v>
      </c>
    </row>
    <row r="12" spans="1:4" ht="29.25" customHeight="1" x14ac:dyDescent="0.25">
      <c r="A12" s="40"/>
      <c r="B12" s="39" t="s">
        <v>20</v>
      </c>
      <c r="C12" s="33">
        <f>a^2/a^2</f>
        <v>1</v>
      </c>
      <c r="D12" s="34" t="s">
        <v>38</v>
      </c>
    </row>
    <row r="13" spans="1:4" ht="30.75" customHeight="1" x14ac:dyDescent="0.25">
      <c r="A13" s="21"/>
      <c r="B13" s="29" t="s">
        <v>20</v>
      </c>
      <c r="C13" s="22">
        <f>a^2/a^2</f>
        <v>1</v>
      </c>
      <c r="D13" s="24" t="s">
        <v>38</v>
      </c>
    </row>
    <row r="14" spans="1:4" ht="29.25" customHeight="1" x14ac:dyDescent="0.25">
      <c r="A14" s="26"/>
      <c r="B14" s="30" t="s">
        <v>19</v>
      </c>
      <c r="C14" s="27">
        <f>a^2/L^2</f>
        <v>1E-14</v>
      </c>
      <c r="D14" s="28" t="s">
        <v>39</v>
      </c>
    </row>
    <row r="15" spans="1:4" ht="30.75" customHeight="1" x14ac:dyDescent="0.25">
      <c r="A15" s="21"/>
      <c r="B15" s="29" t="s">
        <v>35</v>
      </c>
      <c r="C15" s="23">
        <f>a^2*2*k/L</f>
        <v>1.1810498697705989E-2</v>
      </c>
      <c r="D15" s="24" t="s">
        <v>38</v>
      </c>
    </row>
    <row r="16" spans="1:4" ht="30" customHeight="1" x14ac:dyDescent="0.25">
      <c r="A16" s="28"/>
      <c r="B16" s="31" t="s">
        <v>19</v>
      </c>
      <c r="C16" s="28">
        <f>a^2/L^2</f>
        <v>1E-14</v>
      </c>
      <c r="D16" s="28" t="s">
        <v>39</v>
      </c>
    </row>
    <row r="17" spans="1:4" ht="29.25" customHeight="1" x14ac:dyDescent="0.25">
      <c r="A17" s="24"/>
      <c r="B17" s="32" t="s">
        <v>27</v>
      </c>
      <c r="C17" s="24">
        <f>a^2/_c^2*(-2*lilomega)</f>
        <v>-3.9368328992353296E-6</v>
      </c>
      <c r="D17" s="24" t="s">
        <v>38</v>
      </c>
    </row>
    <row r="18" spans="1:4" ht="29.25" customHeight="1" x14ac:dyDescent="0.25">
      <c r="A18" s="28"/>
      <c r="B18" s="31" t="s">
        <v>28</v>
      </c>
      <c r="C18" s="28">
        <f>a^2/_c^2 * 2*k*Omega*a*_c/L</f>
        <v>3.9368328992353292E-16</v>
      </c>
      <c r="D18" s="28" t="s">
        <v>39</v>
      </c>
    </row>
    <row r="19" spans="1:4" ht="29.25" customHeight="1" x14ac:dyDescent="0.25">
      <c r="A19" s="24"/>
      <c r="B19" s="32" t="s">
        <v>29</v>
      </c>
      <c r="C19" s="25">
        <f xml:space="preserve"> a^2/_c^2* 2*lilomega*k*Omega*a</f>
        <v>2.3247979914752475E-4</v>
      </c>
      <c r="D19" s="24" t="s">
        <v>38</v>
      </c>
    </row>
    <row r="20" spans="1:4" ht="33.75" customHeight="1" x14ac:dyDescent="0.25">
      <c r="A20" s="28"/>
      <c r="B20" s="31" t="s">
        <v>30</v>
      </c>
      <c r="C20" s="28">
        <f xml:space="preserve"> a^2/_c^2 * (-k^2*Omega^2*a^2)</f>
        <v>3.8746633191254118E-18</v>
      </c>
      <c r="D20" s="28" t="s">
        <v>39</v>
      </c>
    </row>
    <row r="21" spans="1:4" ht="30.75" customHeight="1" x14ac:dyDescent="0.25">
      <c r="A21" s="28"/>
      <c r="B21" s="31" t="s">
        <v>31</v>
      </c>
      <c r="C21" s="28">
        <f xml:space="preserve"> a^2/_c^2*(-k*Omega^2*L)</f>
        <v>-6.5613881653922162E-16</v>
      </c>
      <c r="D21" s="28" t="s">
        <v>39</v>
      </c>
    </row>
    <row r="22" spans="1:4" ht="29.25" customHeight="1" x14ac:dyDescent="0.25">
      <c r="A22" s="28"/>
      <c r="B22" s="31" t="s">
        <v>32</v>
      </c>
      <c r="C22" s="28">
        <f>a^2/_c^2 * 2*Omega*a*(_c/L^2)</f>
        <v>6.6666666666666666E-28</v>
      </c>
      <c r="D22" s="28" t="s">
        <v>39</v>
      </c>
    </row>
    <row r="23" spans="1:4" ht="30.75" customHeight="1" x14ac:dyDescent="0.25">
      <c r="A23" s="28"/>
      <c r="B23" s="31" t="s">
        <v>33</v>
      </c>
      <c r="C23" s="28">
        <f xml:space="preserve"> a^2/_c^2 * (-2*Omega*L*_c/L)*(1/a)</f>
        <v>-6.6666666666666669E-14</v>
      </c>
      <c r="D23" s="28" t="s">
        <v>39</v>
      </c>
    </row>
    <row r="24" spans="1:4" ht="30.75" customHeight="1" x14ac:dyDescent="0.25">
      <c r="A24" s="24"/>
      <c r="B24" s="32" t="s">
        <v>34</v>
      </c>
      <c r="C24" s="25">
        <f xml:space="preserve"> a^2/_c^2 * 2*lilomega*Omega*L*(1/a)</f>
        <v>3.9368328992353298E-2</v>
      </c>
      <c r="D24" s="24" t="s">
        <v>38</v>
      </c>
    </row>
    <row r="25" spans="1:4" ht="29.25" customHeight="1" x14ac:dyDescent="0.25">
      <c r="A25" s="28"/>
      <c r="B25" s="31" t="s">
        <v>36</v>
      </c>
      <c r="C25" s="28">
        <f>a^2/_c^2 * (-2*lilomega*Omega*a*(1/L))</f>
        <v>-3.9368328992353302E-16</v>
      </c>
      <c r="D25" s="28" t="s">
        <v>39</v>
      </c>
    </row>
    <row r="26" spans="1:4" ht="30" customHeight="1" x14ac:dyDescent="0.25">
      <c r="A26" s="28"/>
      <c r="B26" s="31" t="s">
        <v>40</v>
      </c>
      <c r="C26" s="28">
        <f xml:space="preserve"> a^2/_c^2 * (Omega^2 * L^2 * (1/a^2))</f>
        <v>1.1111111111111111E-13</v>
      </c>
      <c r="D26" s="28" t="s">
        <v>39</v>
      </c>
    </row>
    <row r="27" spans="1:4" ht="30.75" customHeight="1" x14ac:dyDescent="0.25">
      <c r="A27" s="28"/>
      <c r="B27" s="31" t="s">
        <v>41</v>
      </c>
      <c r="C27" s="28">
        <f>a^2/_c^2 * (Omega^2 * a^2 * (1/L^2))</f>
        <v>1.1111111111111112E-41</v>
      </c>
      <c r="D27" s="28" t="s">
        <v>39</v>
      </c>
    </row>
    <row r="28" spans="1:4" ht="29.25" customHeight="1" x14ac:dyDescent="0.25">
      <c r="A28" s="28"/>
      <c r="B28" s="31" t="s">
        <v>42</v>
      </c>
      <c r="C28" s="28">
        <f>a^2/_c^2*(-2*Omega^2*a*L*(1/a)*(1/L))</f>
        <v>-2.2222222222222225E-27</v>
      </c>
      <c r="D28" s="28" t="s">
        <v>39</v>
      </c>
    </row>
    <row r="29" spans="1:4" ht="29.25" customHeight="1" x14ac:dyDescent="0.25">
      <c r="A29" s="28"/>
      <c r="B29" s="31" t="s">
        <v>43</v>
      </c>
      <c r="C29" s="28">
        <f xml:space="preserve"> a^2/_c^2 * (-Omega^2 * a * (1/a))</f>
        <v>1.1111111111111111E-27</v>
      </c>
      <c r="D29" s="28" t="s">
        <v>39</v>
      </c>
    </row>
    <row r="30" spans="1:4" ht="29.25" customHeight="1" x14ac:dyDescent="0.25">
      <c r="A30" s="28"/>
      <c r="B30" s="31" t="s">
        <v>44</v>
      </c>
      <c r="C30" s="28">
        <f xml:space="preserve"> a^2/_c^2 * (-Omega^2 * L * (1/L))</f>
        <v>1.1111111111111111E-27</v>
      </c>
      <c r="D30" s="28" t="s">
        <v>39</v>
      </c>
    </row>
    <row r="31" spans="1:4" ht="30" customHeight="1" x14ac:dyDescent="0.25">
      <c r="A31" s="28"/>
      <c r="B31" s="31" t="s">
        <v>45</v>
      </c>
      <c r="C31" s="28">
        <f xml:space="preserve"> a^2/_c^2 *  (Omega^2 * L * (1/a))</f>
        <v>1.1111111111111111E-20</v>
      </c>
      <c r="D31" s="28" t="s">
        <v>39</v>
      </c>
    </row>
    <row r="32" spans="1:4" ht="29.25" customHeight="1" x14ac:dyDescent="0.25">
      <c r="A32" s="28"/>
      <c r="B32" s="31" t="s">
        <v>46</v>
      </c>
      <c r="C32" s="28">
        <f>a^2/_c^2 * (2*k*Omega^2*a^2*L)</f>
        <v>1.3122776330784432E-19</v>
      </c>
      <c r="D32" s="28" t="s">
        <v>39</v>
      </c>
    </row>
    <row r="33" spans="1:4" ht="31.5" customHeight="1" x14ac:dyDescent="0.25">
      <c r="A33" s="28"/>
      <c r="B33" s="31" t="s">
        <v>47</v>
      </c>
      <c r="C33" s="28">
        <f xml:space="preserve"> a^2/_c^2 * (-k*Omega^2*a*L*(1/a))</f>
        <v>-6.5613881653922162E-16</v>
      </c>
      <c r="D33" s="28" t="s">
        <v>39</v>
      </c>
    </row>
    <row r="34" spans="1:4" ht="30" customHeight="1" x14ac:dyDescent="0.25">
      <c r="A34" s="28"/>
      <c r="B34" s="31" t="s">
        <v>46</v>
      </c>
      <c r="C34" s="28">
        <f xml:space="preserve"> a^2/_c^2 * (k*Omega^2*a^2*(1/L))</f>
        <v>6.5613881653922164E-30</v>
      </c>
      <c r="D34" s="28" t="s">
        <v>39</v>
      </c>
    </row>
    <row r="35" spans="1:4" ht="30.75" customHeight="1" x14ac:dyDescent="0.25">
      <c r="A35" s="28"/>
      <c r="B35" s="31" t="s">
        <v>47</v>
      </c>
      <c r="C35" s="28">
        <f xml:space="preserve"> a^2/_c^2 * (-2*k*Omega^2*a*L*(1/a))</f>
        <v>-1.3122776330784432E-15</v>
      </c>
      <c r="D35" s="28" t="s">
        <v>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F875F1374C6A46AA9608446661C24C" ma:contentTypeVersion="9" ma:contentTypeDescription="Create a new document." ma:contentTypeScope="" ma:versionID="dffaccc35d40f50c737c15e9fdfaf930">
  <xsd:schema xmlns:xsd="http://www.w3.org/2001/XMLSchema" xmlns:xs="http://www.w3.org/2001/XMLSchema" xmlns:p="http://schemas.microsoft.com/office/2006/metadata/properties" xmlns:ns3="ad9005d9-f216-4472-a89b-84e3ede58570" targetNamespace="http://schemas.microsoft.com/office/2006/metadata/properties" ma:root="true" ma:fieldsID="57e7fc0d420a45fdd35b08f305b9e68f" ns3:_="">
    <xsd:import namespace="ad9005d9-f216-4472-a89b-84e3ede585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005d9-f216-4472-a89b-84e3ede585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EFFC84-5C0D-4368-A62B-9F3CC9D40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9005d9-f216-4472-a89b-84e3ede58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B7CB2E-F73D-47DB-9C05-C8BF11280D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B98D31-D9CA-4325-895E-EF85E92A4057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d9005d9-f216-4472-a89b-84e3ede5857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_c</vt:lpstr>
      <vt:lpstr>a</vt:lpstr>
      <vt:lpstr>k</vt:lpstr>
      <vt:lpstr>L</vt:lpstr>
      <vt:lpstr>lambda</vt:lpstr>
      <vt:lpstr>lilomega</vt:lpstr>
      <vt:lpstr>Omega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Jewell, Anya</dc:creator>
  <cp:lastModifiedBy>Jewell, Anya</cp:lastModifiedBy>
  <dcterms:created xsi:type="dcterms:W3CDTF">2025-10-15T13:10:04Z</dcterms:created>
  <dcterms:modified xsi:type="dcterms:W3CDTF">2025-10-15T23:03:38Z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0x0101002BF875F1374C6A46AA9608446661C24C</vt:lpwstr>
  </property>
</Properties>
</file>